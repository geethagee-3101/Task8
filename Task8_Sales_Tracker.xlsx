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Sal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'Raw Sales'!$A$1:$H$11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₹#,##0.00"/>
    <numFmt numFmtId="167" formatCode="mmm-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8" customWidth="1" min="4" max="4"/>
    <col width="12" customWidth="1" min="5" max="5"/>
    <col width="14" customWidth="1" min="6" max="6"/>
    <col width="18" customWidth="1" min="7" max="7"/>
    <col width="16" customWidth="1" min="8" max="8"/>
  </cols>
  <sheetData>
    <row r="1">
      <c r="A1" s="1" t="inlineStr">
        <is>
          <t>Date</t>
        </is>
      </c>
      <c r="B1" s="1" t="inlineStr">
        <is>
          <t>Sale ID</t>
        </is>
      </c>
      <c r="C1" s="1" t="inlineStr">
        <is>
          <t>Salesperson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Payment Method</t>
        </is>
      </c>
      <c r="H1" s="1" t="inlineStr">
        <is>
          <t>Total Sales</t>
        </is>
      </c>
    </row>
    <row r="2">
      <c r="A2" s="2" t="n">
        <v>46296</v>
      </c>
      <c r="B2" t="inlineStr">
        <is>
          <t>S001</t>
        </is>
      </c>
      <c r="C2" t="inlineStr">
        <is>
          <t>Ananya</t>
        </is>
      </c>
      <c r="D2" t="inlineStr">
        <is>
          <t>Notebook</t>
        </is>
      </c>
      <c r="E2" t="n">
        <v>10</v>
      </c>
      <c r="F2" s="3" t="n">
        <v>40</v>
      </c>
      <c r="G2" t="inlineStr">
        <is>
          <t>Cash</t>
        </is>
      </c>
      <c r="H2" s="3">
        <f>E2*F2</f>
        <v/>
      </c>
    </row>
    <row r="3">
      <c r="A3" s="2" t="n">
        <v>46296</v>
      </c>
      <c r="B3" t="inlineStr">
        <is>
          <t>S002</t>
        </is>
      </c>
      <c r="C3" t="inlineStr">
        <is>
          <t>Rahul</t>
        </is>
      </c>
      <c r="D3" t="inlineStr">
        <is>
          <t>Pen</t>
        </is>
      </c>
      <c r="E3" t="n">
        <v>20</v>
      </c>
      <c r="F3" s="3" t="n">
        <v>10</v>
      </c>
      <c r="G3" t="inlineStr">
        <is>
          <t>UPI</t>
        </is>
      </c>
      <c r="H3" s="3">
        <f>E3*F3</f>
        <v/>
      </c>
    </row>
    <row r="4">
      <c r="A4" s="2" t="n">
        <v>46297</v>
      </c>
      <c r="B4" t="inlineStr">
        <is>
          <t>S003</t>
        </is>
      </c>
      <c r="C4" t="inlineStr">
        <is>
          <t>Meera</t>
        </is>
      </c>
      <c r="D4" t="inlineStr">
        <is>
          <t>Backpack</t>
        </is>
      </c>
      <c r="E4" t="n">
        <v>2</v>
      </c>
      <c r="F4" s="3" t="n">
        <v>650</v>
      </c>
      <c r="G4" t="inlineStr">
        <is>
          <t>Card</t>
        </is>
      </c>
      <c r="H4" s="3">
        <f>E4*F4</f>
        <v/>
      </c>
    </row>
    <row r="5">
      <c r="A5" s="2" t="n">
        <v>46298</v>
      </c>
      <c r="B5" t="inlineStr">
        <is>
          <t>S004</t>
        </is>
      </c>
      <c r="C5" t="inlineStr">
        <is>
          <t>Arjun</t>
        </is>
      </c>
      <c r="D5" t="inlineStr">
        <is>
          <t>Notebook</t>
        </is>
      </c>
      <c r="E5" t="n">
        <v>15</v>
      </c>
      <c r="F5" s="3" t="n">
        <v>40</v>
      </c>
      <c r="G5" t="inlineStr">
        <is>
          <t>UPI</t>
        </is>
      </c>
      <c r="H5" s="3">
        <f>E5*F5</f>
        <v/>
      </c>
    </row>
    <row r="6">
      <c r="A6" s="2" t="n">
        <v>46302</v>
      </c>
      <c r="B6" t="inlineStr">
        <is>
          <t>S005</t>
        </is>
      </c>
      <c r="C6" t="inlineStr">
        <is>
          <t>Ananya</t>
        </is>
      </c>
      <c r="D6" t="inlineStr">
        <is>
          <t>Water Bottle</t>
        </is>
      </c>
      <c r="E6" t="n">
        <v>5</v>
      </c>
      <c r="F6" s="3" t="n">
        <v>180</v>
      </c>
      <c r="G6" t="inlineStr">
        <is>
          <t>Cash</t>
        </is>
      </c>
      <c r="H6" s="3">
        <f>E6*F6</f>
        <v/>
      </c>
    </row>
    <row r="7">
      <c r="A7" s="2" t="n">
        <v>46303</v>
      </c>
      <c r="B7" t="inlineStr">
        <is>
          <t>S006</t>
        </is>
      </c>
      <c r="C7" t="inlineStr">
        <is>
          <t>Rahul</t>
        </is>
      </c>
      <c r="D7" t="inlineStr">
        <is>
          <t>Pen</t>
        </is>
      </c>
      <c r="E7" t="n">
        <v>30</v>
      </c>
      <c r="F7" s="3" t="n">
        <v>10</v>
      </c>
      <c r="G7" t="inlineStr">
        <is>
          <t>UPI</t>
        </is>
      </c>
      <c r="H7" s="3">
        <f>E7*F7</f>
        <v/>
      </c>
    </row>
    <row r="8">
      <c r="A8" s="2" t="n">
        <v>46307</v>
      </c>
      <c r="B8" t="inlineStr">
        <is>
          <t>S007</t>
        </is>
      </c>
      <c r="C8" t="inlineStr">
        <is>
          <t>Meera</t>
        </is>
      </c>
      <c r="D8" t="inlineStr">
        <is>
          <t>Backpack</t>
        </is>
      </c>
      <c r="E8" t="n">
        <v>1</v>
      </c>
      <c r="F8" s="3" t="n">
        <v>650</v>
      </c>
      <c r="G8" t="inlineStr">
        <is>
          <t>Card</t>
        </is>
      </c>
      <c r="H8" s="3">
        <f>E8*F8</f>
        <v/>
      </c>
    </row>
    <row r="9">
      <c r="A9" s="2" t="n">
        <v>46310</v>
      </c>
      <c r="B9" t="inlineStr">
        <is>
          <t>S008</t>
        </is>
      </c>
      <c r="C9" t="inlineStr">
        <is>
          <t>Arjun</t>
        </is>
      </c>
      <c r="D9" t="inlineStr">
        <is>
          <t>Notebook</t>
        </is>
      </c>
      <c r="E9" t="n">
        <v>8</v>
      </c>
      <c r="F9" s="3" t="n">
        <v>40</v>
      </c>
      <c r="G9" t="inlineStr">
        <is>
          <t>Cash</t>
        </is>
      </c>
      <c r="H9" s="3">
        <f>E9*F9</f>
        <v/>
      </c>
    </row>
    <row r="10">
      <c r="A10" s="2" t="n">
        <v>46315</v>
      </c>
      <c r="B10" t="inlineStr">
        <is>
          <t>S009</t>
        </is>
      </c>
      <c r="C10" t="inlineStr">
        <is>
          <t>Ananya</t>
        </is>
      </c>
      <c r="D10" t="inlineStr">
        <is>
          <t>Water Bottle</t>
        </is>
      </c>
      <c r="E10" t="n">
        <v>3</v>
      </c>
      <c r="F10" s="3" t="n">
        <v>180</v>
      </c>
      <c r="G10" t="inlineStr">
        <is>
          <t>UPI</t>
        </is>
      </c>
      <c r="H10" s="3">
        <f>E10*F10</f>
        <v/>
      </c>
    </row>
    <row r="11">
      <c r="A11" s="2" t="n">
        <v>46321</v>
      </c>
      <c r="B11" t="inlineStr">
        <is>
          <t>S010</t>
        </is>
      </c>
      <c r="C11" t="inlineStr">
        <is>
          <t>Rahul</t>
        </is>
      </c>
      <c r="D11" t="inlineStr">
        <is>
          <t>Pen</t>
        </is>
      </c>
      <c r="E11" t="n">
        <v>12</v>
      </c>
      <c r="F11" s="3" t="n">
        <v>10</v>
      </c>
      <c r="G11" t="inlineStr">
        <is>
          <t>Cash</t>
        </is>
      </c>
      <c r="H11" s="3">
        <f>E11*F11</f>
        <v/>
      </c>
    </row>
  </sheetData>
  <autoFilter ref="A1:H11"/>
  <dataValidations count="3">
    <dataValidation sqref="E2:E1000" showDropDown="0" showInputMessage="0" showErrorMessage="0" allowBlank="0" errorTitle="Invalid quantity" error="Enter a whole number greater than zero." prompt="Enter quantity sold (whole number &gt; 0)." type="whole" operator="greaterThan">
      <formula1>0</formula1>
    </dataValidation>
    <dataValidation sqref="F2:F1000" showDropDown="0" showInputMessage="0" showErrorMessage="0" allowBlank="0" error="Unit price must be zero or greater." type="decimal" operator="greaterThanOrEqual">
      <formula1>0</formula1>
    </dataValidation>
    <dataValidation sqref="G2:G1000" showDropDown="0" showInputMessage="0" showErrorMessage="0" allowBlank="0" type="list">
      <formula1>"Cash,UPI,Card"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5" customWidth="1" min="4" max="4"/>
    <col width="24" customWidth="1" min="5" max="5"/>
    <col width="20" customWidth="1" min="6" max="6"/>
  </cols>
  <sheetData>
    <row r="1">
      <c r="A1" s="4" t="inlineStr">
        <is>
          <t>SALES TRACKER SUMMARY</t>
        </is>
      </c>
    </row>
    <row r="2"/>
    <row r="3">
      <c r="A3" s="5" t="inlineStr">
        <is>
          <t>Daily totals</t>
        </is>
      </c>
      <c r="E3" s="5" t="inlineStr">
        <is>
          <t>Manual verification</t>
        </is>
      </c>
    </row>
    <row r="4">
      <c r="A4" s="5" t="inlineStr">
        <is>
          <t>Date</t>
        </is>
      </c>
      <c r="B4" s="5" t="inlineStr">
        <is>
          <t>Total Sales</t>
        </is>
      </c>
      <c r="E4" s="5" t="inlineStr">
        <is>
          <t>Total rows</t>
        </is>
      </c>
      <c r="F4" s="5">
        <f>COUNTA('Raw Sales'!B2:B1000)</f>
        <v/>
      </c>
    </row>
    <row r="5">
      <c r="A5" s="6" t="n">
        <v>46296</v>
      </c>
      <c r="B5" s="7">
        <f>SUMIFS('Raw Sales'!$H$2:$H$1000,'Raw Sales'!$A$2:$A$1000,A5,'Raw Sales'!$A$2:$A$1000,"&lt;"&amp;A5+1)</f>
        <v/>
      </c>
      <c r="E5" s="8" t="inlineStr">
        <is>
          <t>Grand total</t>
        </is>
      </c>
      <c r="F5" s="7">
        <f>SUM('Raw Sales'!H2:H1000)</f>
        <v/>
      </c>
    </row>
    <row r="6">
      <c r="A6" s="6" t="n">
        <v>46297</v>
      </c>
      <c r="B6" s="7">
        <f>SUMIFS('Raw Sales'!$H$2:$H$1000,'Raw Sales'!$A$2:$A$1000,A6,'Raw Sales'!$A$2:$A$1000,"&lt;"&amp;A6+1)</f>
        <v/>
      </c>
      <c r="E6" s="8" t="inlineStr">
        <is>
          <t>Manual total (sample)</t>
        </is>
      </c>
      <c r="F6" s="7" t="n">
        <v>5330</v>
      </c>
    </row>
    <row r="7">
      <c r="A7" s="6" t="n">
        <v>46298</v>
      </c>
      <c r="B7" s="7">
        <f>SUMIFS('Raw Sales'!$H$2:$H$1000,'Raw Sales'!$A$2:$A$1000,A7,'Raw Sales'!$A$2:$A$1000,"&lt;"&amp;A7+1)</f>
        <v/>
      </c>
      <c r="E7" s="8" t="inlineStr">
        <is>
          <t>Check</t>
        </is>
      </c>
      <c r="F7" s="8">
        <f>IF(F5=F6,"MATCH","CHECK")</f>
        <v/>
      </c>
    </row>
    <row r="8">
      <c r="A8" s="6" t="n">
        <v>46302</v>
      </c>
      <c r="B8" s="7">
        <f>SUMIFS('Raw Sales'!$H$2:$H$1000,'Raw Sales'!$A$2:$A$1000,A8,'Raw Sales'!$A$2:$A$1000,"&lt;"&amp;A8+1)</f>
        <v/>
      </c>
    </row>
    <row r="9">
      <c r="A9" s="6" t="n">
        <v>46303</v>
      </c>
      <c r="B9" s="7">
        <f>SUMIFS('Raw Sales'!$H$2:$H$1000,'Raw Sales'!$A$2:$A$1000,A9,'Raw Sales'!$A$2:$A$1000,"&lt;"&amp;A9+1)</f>
        <v/>
      </c>
    </row>
    <row r="10">
      <c r="A10" s="6" t="n">
        <v>46307</v>
      </c>
      <c r="B10" s="7">
        <f>SUMIFS('Raw Sales'!$H$2:$H$1000,'Raw Sales'!$A$2:$A$1000,A10,'Raw Sales'!$A$2:$A$1000,"&lt;"&amp;A10+1)</f>
        <v/>
      </c>
    </row>
    <row r="11">
      <c r="A11" s="6" t="n">
        <v>46310</v>
      </c>
      <c r="B11" s="7">
        <f>SUMIFS('Raw Sales'!$H$2:$H$1000,'Raw Sales'!$A$2:$A$1000,A11,'Raw Sales'!$A$2:$A$1000,"&lt;"&amp;A11+1)</f>
        <v/>
      </c>
    </row>
    <row r="12">
      <c r="A12" s="6" t="n">
        <v>46315</v>
      </c>
      <c r="B12" s="7">
        <f>SUMIFS('Raw Sales'!$H$2:$H$1000,'Raw Sales'!$A$2:$A$1000,A12,'Raw Sales'!$A$2:$A$1000,"&lt;"&amp;A12+1)</f>
        <v/>
      </c>
    </row>
    <row r="13">
      <c r="A13" s="6" t="n">
        <v>46321</v>
      </c>
      <c r="B13" s="7">
        <f>SUMIFS('Raw Sales'!$H$2:$H$1000,'Raw Sales'!$A$2:$A$1000,A13,'Raw Sales'!$A$2:$A$1000,"&lt;"&amp;A13+1)</f>
        <v/>
      </c>
    </row>
    <row r="14"/>
    <row r="15"/>
    <row r="16">
      <c r="A16" s="5" t="inlineStr">
        <is>
          <t>Weekly totals</t>
        </is>
      </c>
    </row>
    <row r="17">
      <c r="A17" s="5" t="inlineStr">
        <is>
          <t>Week starting</t>
        </is>
      </c>
      <c r="B17" s="5" t="inlineStr">
        <is>
          <t>Week ending</t>
        </is>
      </c>
      <c r="C17" s="5" t="inlineStr">
        <is>
          <t>Total Sales</t>
        </is>
      </c>
    </row>
    <row r="18">
      <c r="A18" s="6" t="n">
        <v>46293</v>
      </c>
      <c r="B18" s="6" t="n">
        <v>46299</v>
      </c>
      <c r="C18" s="7">
        <f>SUMIFS('Raw Sales'!$H$2:$H$1000,'Raw Sales'!$A$2:$A$1000,"&gt;="&amp;A18,'Raw Sales'!$A$2:$A$1000,"&lt;="&amp;B18)</f>
        <v/>
      </c>
    </row>
    <row r="19">
      <c r="A19" s="6" t="n">
        <v>46300</v>
      </c>
      <c r="B19" s="6" t="n">
        <v>46306</v>
      </c>
      <c r="C19" s="7">
        <f>SUMIFS('Raw Sales'!$H$2:$H$1000,'Raw Sales'!$A$2:$A$1000,"&gt;="&amp;A19,'Raw Sales'!$A$2:$A$1000,"&lt;="&amp;B19)</f>
        <v/>
      </c>
    </row>
    <row r="20">
      <c r="A20" s="6" t="n">
        <v>46307</v>
      </c>
      <c r="B20" s="6" t="n">
        <v>46313</v>
      </c>
      <c r="C20" s="7">
        <f>SUMIFS('Raw Sales'!$H$2:$H$1000,'Raw Sales'!$A$2:$A$1000,"&gt;="&amp;A20,'Raw Sales'!$A$2:$A$1000,"&lt;="&amp;B20)</f>
        <v/>
      </c>
    </row>
    <row r="21">
      <c r="A21" s="6" t="n">
        <v>46314</v>
      </c>
      <c r="B21" s="6" t="n">
        <v>46320</v>
      </c>
      <c r="C21" s="7">
        <f>SUMIFS('Raw Sales'!$H$2:$H$1000,'Raw Sales'!$A$2:$A$1000,"&gt;="&amp;A21,'Raw Sales'!$A$2:$A$1000,"&lt;="&amp;B21)</f>
        <v/>
      </c>
    </row>
    <row r="22">
      <c r="A22" s="6" t="n">
        <v>46321</v>
      </c>
      <c r="B22" s="6" t="n">
        <v>46327</v>
      </c>
      <c r="C22" s="7">
        <f>SUMIFS('Raw Sales'!$H$2:$H$1000,'Raw Sales'!$A$2:$A$1000,"&gt;="&amp;A22,'Raw Sales'!$A$2:$A$1000,"&lt;="&amp;B22)</f>
        <v/>
      </c>
    </row>
    <row r="23"/>
    <row r="24"/>
    <row r="25">
      <c r="A25" s="5" t="inlineStr">
        <is>
          <t>Monthly totals</t>
        </is>
      </c>
    </row>
    <row r="26">
      <c r="A26" s="5" t="inlineStr">
        <is>
          <t>Month</t>
        </is>
      </c>
      <c r="B26" s="5" t="inlineStr">
        <is>
          <t>Total Sales</t>
        </is>
      </c>
    </row>
    <row r="27">
      <c r="A27" s="9" t="n">
        <v>46296</v>
      </c>
      <c r="B27" s="7">
        <f>SUMIFS('Raw Sales'!$H$2:$H$1000,'Raw Sales'!$A$2:$A$1000,"&gt;="&amp;A27,'Raw Sales'!$A$2:$A$1000,"&lt;"&amp;EDATE(A27,1))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2026-10-27T13:05:06Z</dcterms:created>
  <dcterms:modified xmlns:dcterms="http://purl.org/dc/terms/" xmlns:xsi="http://www.w3.org/2001/XMLSchema-instance" xsi:type="dcterms:W3CDTF">2026-10-27T13:05:06Z</dcterms:modified>
</cp:coreProperties>
</file>